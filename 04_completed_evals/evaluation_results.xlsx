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mina\2021\DF\Baseline-LFCC-LCNN\04_completed_evals\"/>
    </mc:Choice>
  </mc:AlternateContent>
  <xr:revisionPtr revIDLastSave="0" documentId="13_ncr:1_{F43ABBED-31E2-4E41-97E7-56CDD7B46955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Original Baseline" sheetId="1" r:id="rId1"/>
    <sheet name="Clean Weighted" sheetId="2" r:id="rId2"/>
    <sheet name="Noise Augmented v5" sheetId="3" r:id="rId3"/>
    <sheet name="OC-Softmax v1" sheetId="4" r:id="rId4"/>
    <sheet name="Comparison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2" i="6"/>
</calcChain>
</file>

<file path=xl/sharedStrings.xml><?xml version="1.0" encoding="utf-8"?>
<sst xmlns="http://schemas.openxmlformats.org/spreadsheetml/2006/main" count="315" uniqueCount="161">
  <si>
    <t>Condition</t>
  </si>
  <si>
    <t>EER</t>
  </si>
  <si>
    <t>ΔEER</t>
  </si>
  <si>
    <t>RI</t>
  </si>
  <si>
    <t>FAR*</t>
  </si>
  <si>
    <t>FRR*</t>
  </si>
  <si>
    <t>Failure Mode</t>
  </si>
  <si>
    <t>Bonafide Mean</t>
  </si>
  <si>
    <t>Bonafide Std</t>
  </si>
  <si>
    <t>Spoof Mean</t>
  </si>
  <si>
    <t>Spoof Std</t>
  </si>
  <si>
    <t>Clean</t>
  </si>
  <si>
    <t>37.99%</t>
  </si>
  <si>
    <t>balanced</t>
  </si>
  <si>
    <t>Noise: ambient 20dB</t>
  </si>
  <si>
    <t>39.30%</t>
  </si>
  <si>
    <t>1.31%</t>
  </si>
  <si>
    <t>33.56%</t>
  </si>
  <si>
    <t>47.41%</t>
  </si>
  <si>
    <t>bonafide collapse</t>
  </si>
  <si>
    <t>Noise: ambient 10dB</t>
  </si>
  <si>
    <t>42.12%</t>
  </si>
  <si>
    <t>4.13%</t>
  </si>
  <si>
    <t>36.97%</t>
  </si>
  <si>
    <t>48.10%</t>
  </si>
  <si>
    <t>Noise: babble 20dB</t>
  </si>
  <si>
    <t>38.65%</t>
  </si>
  <si>
    <t>0.66%</t>
  </si>
  <si>
    <t>32.19%</t>
  </si>
  <si>
    <t>47.15%</t>
  </si>
  <si>
    <t>Noise: babble 10dB</t>
  </si>
  <si>
    <t>40.10%</t>
  </si>
  <si>
    <t>2.11%</t>
  </si>
  <si>
    <t>43.41%</t>
  </si>
  <si>
    <t>36.92%</t>
  </si>
  <si>
    <t>spoof collapse</t>
  </si>
  <si>
    <t>Short clip: 5s</t>
  </si>
  <si>
    <t>38.03%</t>
  </si>
  <si>
    <t>0.03%</t>
  </si>
  <si>
    <t>37.06%</t>
  </si>
  <si>
    <t>39.48%</t>
  </si>
  <si>
    <t>Short clip: 3s</t>
  </si>
  <si>
    <t>38.78%</t>
  </si>
  <si>
    <t>0.79%</t>
  </si>
  <si>
    <t>41.31%</t>
  </si>
  <si>
    <t>Codec: MP3 64kbps</t>
  </si>
  <si>
    <t>37.95%</t>
  </si>
  <si>
    <t>-0.05%</t>
  </si>
  <si>
    <t>35.41%</t>
  </si>
  <si>
    <t>42.26%</t>
  </si>
  <si>
    <t>Codec: Opus 32kbps</t>
  </si>
  <si>
    <t>38.26%</t>
  </si>
  <si>
    <t>0.27%</t>
  </si>
  <si>
    <t>36.64%</t>
  </si>
  <si>
    <t>40.95%</t>
  </si>
  <si>
    <t>Combined: babble 20dB + MP3</t>
  </si>
  <si>
    <t>38.92%</t>
  </si>
  <si>
    <t>0.93%</t>
  </si>
  <si>
    <t>29.95%</t>
  </si>
  <si>
    <t>50.82%</t>
  </si>
  <si>
    <t>Combined: babble 20dB + 3s</t>
  </si>
  <si>
    <t>39.75%</t>
  </si>
  <si>
    <t>1.76%</t>
  </si>
  <si>
    <t>30.89%</t>
  </si>
  <si>
    <t>50.19%</t>
  </si>
  <si>
    <t>Combined: MP3 + 3s</t>
  </si>
  <si>
    <t>38.68%</t>
  </si>
  <si>
    <t>0.69%</t>
  </si>
  <si>
    <t>34.96%</t>
  </si>
  <si>
    <t>44.00%</t>
  </si>
  <si>
    <t>43.84%</t>
  </si>
  <si>
    <t>38.72%</t>
  </si>
  <si>
    <t>44.11%</t>
  </si>
  <si>
    <t>5.39%</t>
  </si>
  <si>
    <t>47.33%</t>
  </si>
  <si>
    <t>40.15%</t>
  </si>
  <si>
    <t>47.98%</t>
  </si>
  <si>
    <t>9.26%</t>
  </si>
  <si>
    <t>55.73%</t>
  </si>
  <si>
    <t>39.37%</t>
  </si>
  <si>
    <t>43.21%</t>
  </si>
  <si>
    <t>4.49%</t>
  </si>
  <si>
    <t>57.34%</t>
  </si>
  <si>
    <t>26.63%</t>
  </si>
  <si>
    <t>46.60%</t>
  </si>
  <si>
    <t>7.88%</t>
  </si>
  <si>
    <t>78.73%</t>
  </si>
  <si>
    <t>14.35%</t>
  </si>
  <si>
    <t>38.36%</t>
  </si>
  <si>
    <t>-0.36%</t>
  </si>
  <si>
    <t>33.01%</t>
  </si>
  <si>
    <t>46.51%</t>
  </si>
  <si>
    <t>39.09%</t>
  </si>
  <si>
    <t>0.37%</t>
  </si>
  <si>
    <t>32.86%</t>
  </si>
  <si>
    <t>47.88%</t>
  </si>
  <si>
    <t>38.88%</t>
  </si>
  <si>
    <t>0.16%</t>
  </si>
  <si>
    <t>36.18%</t>
  </si>
  <si>
    <t>43.36%</t>
  </si>
  <si>
    <t>37.24%</t>
  </si>
  <si>
    <t>40.12%</t>
  </si>
  <si>
    <t>43.53%</t>
  </si>
  <si>
    <t>4.80%</t>
  </si>
  <si>
    <t>55.25%</t>
  </si>
  <si>
    <t>29.45%</t>
  </si>
  <si>
    <t>43.39%</t>
  </si>
  <si>
    <t>4.67%</t>
  </si>
  <si>
    <t>46.47%</t>
  </si>
  <si>
    <t>39.95%</t>
  </si>
  <si>
    <t>39.25%</t>
  </si>
  <si>
    <t>0.53%</t>
  </si>
  <si>
    <t>31.36%</t>
  </si>
  <si>
    <t>50.42%</t>
  </si>
  <si>
    <t>38.30%</t>
  </si>
  <si>
    <t>31.20%</t>
  </si>
  <si>
    <t>50.84%</t>
  </si>
  <si>
    <t>40.98%</t>
  </si>
  <si>
    <t>2.95%</t>
  </si>
  <si>
    <t>29.20%</t>
  </si>
  <si>
    <t>57.64%</t>
  </si>
  <si>
    <t>38.23%</t>
  </si>
  <si>
    <t>0.20%</t>
  </si>
  <si>
    <t>28.37%</t>
  </si>
  <si>
    <t>55.41%</t>
  </si>
  <si>
    <t>41.36%</t>
  </si>
  <si>
    <t>3.33%</t>
  </si>
  <si>
    <t>29.60%</t>
  </si>
  <si>
    <t>56.97%</t>
  </si>
  <si>
    <t>37.93%</t>
  </si>
  <si>
    <t>-0.10%</t>
  </si>
  <si>
    <t>34.49%</t>
  </si>
  <si>
    <t>44.42%</t>
  </si>
  <si>
    <t>38.70%</t>
  </si>
  <si>
    <t>0.67%</t>
  </si>
  <si>
    <t>33.66%</t>
  </si>
  <si>
    <t>46.80%</t>
  </si>
  <si>
    <t>37.86%</t>
  </si>
  <si>
    <t>-0.17%</t>
  </si>
  <si>
    <t>36.13%</t>
  </si>
  <si>
    <t>41.05%</t>
  </si>
  <si>
    <t>38.39%</t>
  </si>
  <si>
    <t>0.36%</t>
  </si>
  <si>
    <t>37.26%</t>
  </si>
  <si>
    <t>40.51%</t>
  </si>
  <si>
    <t>38.29%</t>
  </si>
  <si>
    <t>0.26%</t>
  </si>
  <si>
    <t>26.98%</t>
  </si>
  <si>
    <t>58.17%</t>
  </si>
  <si>
    <t>39.46%</t>
  </si>
  <si>
    <t>1.43%</t>
  </si>
  <si>
    <t>24.83%</t>
  </si>
  <si>
    <t>62.11%</t>
  </si>
  <si>
    <t>38.53%</t>
  </si>
  <si>
    <t>0.50%</t>
  </si>
  <si>
    <t>32.20%</t>
  </si>
  <si>
    <t>48.89%</t>
  </si>
  <si>
    <t>Noise-Aug EER</t>
  </si>
  <si>
    <t>OC-Softmax EER</t>
  </si>
  <si>
    <t>Clean EER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</si>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</sst>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/>
    <xf numFmtId="10" fontId="1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4" x14ac:dyDescent="0.3"/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70</v>
      </c>
      <c r="E2" t="s">
        <v>70</v>
      </c>
      <c r="F2" t="s">
        <v>70</v>
      </c>
      <c r="G2" t="s">
        <v>13</v>
      </c>
      <c r="H2">
        <v>-3.12</v>
      </c>
      <c r="I2">
        <v>5.63</v>
      </c>
      <c r="J2">
        <v>-6.37</v>
      </c>
      <c r="K2">
        <v>9.24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B2" sqref="B2:B13"/>
    </sheetView>
  </sheetViews>
  <sheetFormatPr defaultRowHeight="14.4" x14ac:dyDescent="0.3"/>
  <cols>
    <col min="1" max="1" width="29" customWidth="1"/>
    <col min="2" max="2" width="9" customWidth="1"/>
    <col min="3" max="3" width="11" customWidth="1"/>
    <col min="4" max="4" width="6.21875" bestFit="1" customWidth="1"/>
    <col min="5" max="5" width="9" customWidth="1"/>
    <col min="6" max="6" width="19" customWidth="1"/>
    <col min="7" max="7" width="15" customWidth="1"/>
    <col min="8" max="8" width="14" customWidth="1"/>
    <col min="9" max="9" width="12" customWidth="1"/>
    <col min="10" max="10" width="1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71</v>
      </c>
      <c r="E2" t="s">
        <v>71</v>
      </c>
      <c r="F2" t="s">
        <v>71</v>
      </c>
      <c r="G2" t="s">
        <v>13</v>
      </c>
      <c r="H2">
        <v>2.17</v>
      </c>
      <c r="I2">
        <v>3.85</v>
      </c>
      <c r="J2">
        <v>-1.63</v>
      </c>
      <c r="K2">
        <v>6.98</v>
      </c>
    </row>
    <row r="3" spans="1:11" x14ac:dyDescent="0.3">
      <c r="A3" t="s">
        <v>14</v>
      </c>
      <c r="B3" t="s">
        <v>72</v>
      </c>
      <c r="C3" t="s">
        <v>73</v>
      </c>
      <c r="D3" s="3">
        <v>-0.13919999999999999</v>
      </c>
      <c r="E3" t="s">
        <v>74</v>
      </c>
      <c r="F3" t="s">
        <v>75</v>
      </c>
      <c r="G3" t="s">
        <v>35</v>
      </c>
      <c r="H3">
        <v>2.36</v>
      </c>
      <c r="I3">
        <v>4.5</v>
      </c>
      <c r="J3">
        <v>0.15</v>
      </c>
      <c r="K3">
        <v>6.14</v>
      </c>
    </row>
    <row r="4" spans="1:11" x14ac:dyDescent="0.3">
      <c r="A4" t="s">
        <v>20</v>
      </c>
      <c r="B4" t="s">
        <v>76</v>
      </c>
      <c r="C4" t="s">
        <v>77</v>
      </c>
      <c r="D4" s="3">
        <v>-0.2392</v>
      </c>
      <c r="E4" t="s">
        <v>78</v>
      </c>
      <c r="F4" t="s">
        <v>79</v>
      </c>
      <c r="G4" t="s">
        <v>35</v>
      </c>
      <c r="H4">
        <v>2.61</v>
      </c>
      <c r="I4">
        <v>4.8899999999999997</v>
      </c>
      <c r="J4">
        <v>1.45</v>
      </c>
      <c r="K4">
        <v>5.77</v>
      </c>
    </row>
    <row r="5" spans="1:11" x14ac:dyDescent="0.3">
      <c r="A5" t="s">
        <v>25</v>
      </c>
      <c r="B5" t="s">
        <v>80</v>
      </c>
      <c r="C5" t="s">
        <v>81</v>
      </c>
      <c r="D5" s="3">
        <v>-0.1159</v>
      </c>
      <c r="E5" t="s">
        <v>82</v>
      </c>
      <c r="F5" t="s">
        <v>83</v>
      </c>
      <c r="G5" t="s">
        <v>35</v>
      </c>
      <c r="H5">
        <v>3.04</v>
      </c>
      <c r="I5">
        <v>3.31</v>
      </c>
      <c r="J5">
        <v>1.29</v>
      </c>
      <c r="K5">
        <v>4.71</v>
      </c>
    </row>
    <row r="6" spans="1:11" x14ac:dyDescent="0.3">
      <c r="A6" t="s">
        <v>30</v>
      </c>
      <c r="B6" t="s">
        <v>84</v>
      </c>
      <c r="C6" t="s">
        <v>85</v>
      </c>
      <c r="D6" s="3">
        <v>-0.2034</v>
      </c>
      <c r="E6" t="s">
        <v>86</v>
      </c>
      <c r="F6" t="s">
        <v>87</v>
      </c>
      <c r="G6" t="s">
        <v>35</v>
      </c>
      <c r="H6">
        <v>3.92</v>
      </c>
      <c r="I6">
        <v>2.83</v>
      </c>
      <c r="J6">
        <v>3.29</v>
      </c>
      <c r="K6">
        <v>3.44</v>
      </c>
    </row>
    <row r="7" spans="1:11" x14ac:dyDescent="0.3">
      <c r="A7" t="s">
        <v>36</v>
      </c>
      <c r="B7" t="s">
        <v>88</v>
      </c>
      <c r="C7" t="s">
        <v>89</v>
      </c>
      <c r="D7" s="3">
        <v>9.4000000000000004E-3</v>
      </c>
      <c r="E7" t="s">
        <v>90</v>
      </c>
      <c r="F7" t="s">
        <v>91</v>
      </c>
      <c r="G7" t="s">
        <v>19</v>
      </c>
      <c r="H7">
        <v>1.35</v>
      </c>
      <c r="I7">
        <v>5.49</v>
      </c>
      <c r="J7">
        <v>-4.0599999999999996</v>
      </c>
      <c r="K7">
        <v>9.43</v>
      </c>
    </row>
    <row r="8" spans="1:11" x14ac:dyDescent="0.3">
      <c r="A8" t="s">
        <v>41</v>
      </c>
      <c r="B8" t="s">
        <v>92</v>
      </c>
      <c r="C8" t="s">
        <v>93</v>
      </c>
      <c r="D8" s="3">
        <v>-9.4999999999999998E-3</v>
      </c>
      <c r="E8" t="s">
        <v>94</v>
      </c>
      <c r="F8" t="s">
        <v>95</v>
      </c>
      <c r="G8" t="s">
        <v>19</v>
      </c>
      <c r="H8">
        <v>1.1100000000000001</v>
      </c>
      <c r="I8">
        <v>6.41</v>
      </c>
      <c r="J8">
        <v>-4.3899999999999997</v>
      </c>
      <c r="K8">
        <v>10.09</v>
      </c>
    </row>
    <row r="9" spans="1:11" x14ac:dyDescent="0.3">
      <c r="A9" t="s">
        <v>45</v>
      </c>
      <c r="B9" t="s">
        <v>96</v>
      </c>
      <c r="C9" t="s">
        <v>97</v>
      </c>
      <c r="D9" s="3">
        <v>-4.1000000000000003E-3</v>
      </c>
      <c r="E9" t="s">
        <v>98</v>
      </c>
      <c r="F9" t="s">
        <v>99</v>
      </c>
      <c r="G9" t="s">
        <v>19</v>
      </c>
      <c r="H9">
        <v>1.73</v>
      </c>
      <c r="I9">
        <v>4.03</v>
      </c>
      <c r="J9">
        <v>-2.19</v>
      </c>
      <c r="K9">
        <v>7.27</v>
      </c>
    </row>
    <row r="10" spans="1:11" x14ac:dyDescent="0.3">
      <c r="A10" t="s">
        <v>50</v>
      </c>
      <c r="B10" t="s">
        <v>88</v>
      </c>
      <c r="C10" t="s">
        <v>89</v>
      </c>
      <c r="D10" s="3">
        <v>9.4000000000000004E-3</v>
      </c>
      <c r="E10" t="s">
        <v>100</v>
      </c>
      <c r="F10" t="s">
        <v>101</v>
      </c>
      <c r="G10" t="s">
        <v>13</v>
      </c>
      <c r="H10">
        <v>2.06</v>
      </c>
      <c r="I10">
        <v>3.95</v>
      </c>
      <c r="J10">
        <v>-1.86</v>
      </c>
      <c r="K10">
        <v>7.01</v>
      </c>
    </row>
    <row r="11" spans="1:11" x14ac:dyDescent="0.3">
      <c r="A11" t="s">
        <v>55</v>
      </c>
      <c r="B11" t="s">
        <v>102</v>
      </c>
      <c r="C11" t="s">
        <v>103</v>
      </c>
      <c r="D11" s="3">
        <v>-0.1241</v>
      </c>
      <c r="E11" t="s">
        <v>104</v>
      </c>
      <c r="F11" t="s">
        <v>105</v>
      </c>
      <c r="G11" t="s">
        <v>35</v>
      </c>
      <c r="H11">
        <v>2.8</v>
      </c>
      <c r="I11">
        <v>3.44</v>
      </c>
      <c r="J11">
        <v>1.04</v>
      </c>
      <c r="K11">
        <v>4.8899999999999997</v>
      </c>
    </row>
    <row r="12" spans="1:11" x14ac:dyDescent="0.3">
      <c r="A12" t="s">
        <v>60</v>
      </c>
      <c r="B12" t="s">
        <v>106</v>
      </c>
      <c r="C12" t="s">
        <v>107</v>
      </c>
      <c r="D12" s="3">
        <v>-0.1206</v>
      </c>
      <c r="E12" t="s">
        <v>108</v>
      </c>
      <c r="F12" t="s">
        <v>109</v>
      </c>
      <c r="G12" t="s">
        <v>35</v>
      </c>
      <c r="H12">
        <v>2.02</v>
      </c>
      <c r="I12">
        <v>5.45</v>
      </c>
      <c r="J12">
        <v>-0.48</v>
      </c>
      <c r="K12">
        <v>6.98</v>
      </c>
    </row>
    <row r="13" spans="1:11" x14ac:dyDescent="0.3">
      <c r="A13" t="s">
        <v>65</v>
      </c>
      <c r="B13" t="s">
        <v>110</v>
      </c>
      <c r="C13" t="s">
        <v>111</v>
      </c>
      <c r="D13" s="3">
        <v>-1.37E-2</v>
      </c>
      <c r="E13" t="s">
        <v>112</v>
      </c>
      <c r="F13" t="s">
        <v>113</v>
      </c>
      <c r="G13" t="s">
        <v>19</v>
      </c>
      <c r="H13">
        <v>0.71</v>
      </c>
      <c r="I13">
        <v>6.5</v>
      </c>
      <c r="J13">
        <v>-4.8</v>
      </c>
      <c r="K13">
        <v>10.15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4" x14ac:dyDescent="0.3"/>
  <cols>
    <col min="1" max="1" width="29" customWidth="1"/>
    <col min="2" max="2" width="9" customWidth="1"/>
    <col min="3" max="3" width="11" customWidth="1"/>
    <col min="4" max="5" width="9" customWidth="1"/>
    <col min="6" max="6" width="19" customWidth="1"/>
    <col min="7" max="7" width="15" customWidth="1"/>
    <col min="8" max="8" width="14" customWidth="1"/>
    <col min="9" max="9" width="12" customWidth="1"/>
    <col min="10" max="10" width="1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E2" t="s">
        <v>12</v>
      </c>
      <c r="F2" t="s">
        <v>12</v>
      </c>
      <c r="G2" t="s">
        <v>13</v>
      </c>
      <c r="H2">
        <v>-1.32</v>
      </c>
      <c r="I2">
        <v>3.45</v>
      </c>
      <c r="J2">
        <v>-4.5199999999999996</v>
      </c>
      <c r="K2">
        <v>5.76</v>
      </c>
    </row>
    <row r="3" spans="1:11" x14ac:dyDescent="0.3">
      <c r="A3" t="s">
        <v>14</v>
      </c>
      <c r="B3" t="s">
        <v>15</v>
      </c>
      <c r="C3" t="s">
        <v>16</v>
      </c>
      <c r="D3">
        <v>-3.4500000000000003E-2</v>
      </c>
      <c r="E3" t="s">
        <v>17</v>
      </c>
      <c r="F3" t="s">
        <v>18</v>
      </c>
      <c r="G3" t="s">
        <v>19</v>
      </c>
      <c r="H3">
        <v>-2.21</v>
      </c>
      <c r="I3">
        <v>3.56</v>
      </c>
      <c r="J3">
        <v>-4.82</v>
      </c>
      <c r="K3">
        <v>5.24</v>
      </c>
    </row>
    <row r="4" spans="1:11" x14ac:dyDescent="0.3">
      <c r="A4" t="s">
        <v>20</v>
      </c>
      <c r="B4" t="s">
        <v>21</v>
      </c>
      <c r="C4" t="s">
        <v>22</v>
      </c>
      <c r="D4">
        <v>-0.1087</v>
      </c>
      <c r="E4" t="s">
        <v>23</v>
      </c>
      <c r="F4" t="s">
        <v>24</v>
      </c>
      <c r="G4" t="s">
        <v>19</v>
      </c>
      <c r="H4">
        <v>-2.2799999999999998</v>
      </c>
      <c r="I4">
        <v>3.52</v>
      </c>
      <c r="J4">
        <v>-4.13</v>
      </c>
      <c r="K4">
        <v>4.5999999999999996</v>
      </c>
    </row>
    <row r="5" spans="1:11" x14ac:dyDescent="0.3">
      <c r="A5" t="s">
        <v>25</v>
      </c>
      <c r="B5" t="s">
        <v>26</v>
      </c>
      <c r="C5" t="s">
        <v>27</v>
      </c>
      <c r="D5">
        <v>-1.7299999999999999E-2</v>
      </c>
      <c r="E5" t="s">
        <v>28</v>
      </c>
      <c r="F5" t="s">
        <v>29</v>
      </c>
      <c r="G5" t="s">
        <v>19</v>
      </c>
      <c r="H5">
        <v>-2.17</v>
      </c>
      <c r="I5">
        <v>3.17</v>
      </c>
      <c r="J5">
        <v>-4.6100000000000003</v>
      </c>
      <c r="K5">
        <v>4.5</v>
      </c>
    </row>
    <row r="6" spans="1:11" x14ac:dyDescent="0.3">
      <c r="A6" t="s">
        <v>30</v>
      </c>
      <c r="B6" t="s">
        <v>31</v>
      </c>
      <c r="C6" t="s">
        <v>32</v>
      </c>
      <c r="D6">
        <v>-5.5599999999999997E-2</v>
      </c>
      <c r="E6" t="s">
        <v>33</v>
      </c>
      <c r="F6" t="s">
        <v>34</v>
      </c>
      <c r="G6" t="s">
        <v>35</v>
      </c>
      <c r="H6">
        <v>-1.58</v>
      </c>
      <c r="I6">
        <v>2.63</v>
      </c>
      <c r="J6">
        <v>-3.11</v>
      </c>
      <c r="K6">
        <v>3.14</v>
      </c>
    </row>
    <row r="7" spans="1:11" x14ac:dyDescent="0.3">
      <c r="A7" t="s">
        <v>36</v>
      </c>
      <c r="B7" t="s">
        <v>37</v>
      </c>
      <c r="C7" t="s">
        <v>38</v>
      </c>
      <c r="D7">
        <v>-8.9999999999999998E-4</v>
      </c>
      <c r="E7" t="s">
        <v>39</v>
      </c>
      <c r="F7" t="s">
        <v>40</v>
      </c>
      <c r="G7" t="s">
        <v>13</v>
      </c>
      <c r="H7">
        <v>-1.03</v>
      </c>
      <c r="I7">
        <v>5.19</v>
      </c>
      <c r="J7">
        <v>-5.76</v>
      </c>
      <c r="K7">
        <v>8.1</v>
      </c>
    </row>
    <row r="8" spans="1:11" x14ac:dyDescent="0.3">
      <c r="A8" t="s">
        <v>41</v>
      </c>
      <c r="B8" t="s">
        <v>42</v>
      </c>
      <c r="C8" t="s">
        <v>43</v>
      </c>
      <c r="D8">
        <v>-2.0899999999999998E-2</v>
      </c>
      <c r="E8" t="s">
        <v>23</v>
      </c>
      <c r="F8" t="s">
        <v>44</v>
      </c>
      <c r="G8" t="s">
        <v>19</v>
      </c>
      <c r="H8">
        <v>-1.26</v>
      </c>
      <c r="I8">
        <v>5.78</v>
      </c>
      <c r="J8">
        <v>-6</v>
      </c>
      <c r="K8">
        <v>8.57</v>
      </c>
    </row>
    <row r="9" spans="1:11" x14ac:dyDescent="0.3">
      <c r="A9" t="s">
        <v>45</v>
      </c>
      <c r="B9" t="s">
        <v>46</v>
      </c>
      <c r="C9" t="s">
        <v>47</v>
      </c>
      <c r="D9">
        <v>1.1999999999999999E-3</v>
      </c>
      <c r="E9" t="s">
        <v>48</v>
      </c>
      <c r="F9" t="s">
        <v>49</v>
      </c>
      <c r="G9" t="s">
        <v>19</v>
      </c>
      <c r="H9">
        <v>-1.63</v>
      </c>
      <c r="I9">
        <v>3.65</v>
      </c>
      <c r="J9">
        <v>-4.99</v>
      </c>
      <c r="K9">
        <v>6.02</v>
      </c>
    </row>
    <row r="10" spans="1:11" x14ac:dyDescent="0.3">
      <c r="A10" t="s">
        <v>50</v>
      </c>
      <c r="B10" t="s">
        <v>51</v>
      </c>
      <c r="C10" t="s">
        <v>52</v>
      </c>
      <c r="D10">
        <v>-7.1000000000000004E-3</v>
      </c>
      <c r="E10" t="s">
        <v>53</v>
      </c>
      <c r="F10" t="s">
        <v>54</v>
      </c>
      <c r="G10" t="s">
        <v>19</v>
      </c>
      <c r="H10">
        <v>-1.54</v>
      </c>
      <c r="I10">
        <v>3.51</v>
      </c>
      <c r="J10">
        <v>-4.7</v>
      </c>
      <c r="K10">
        <v>5.73</v>
      </c>
    </row>
    <row r="11" spans="1:11" x14ac:dyDescent="0.3">
      <c r="A11" t="s">
        <v>55</v>
      </c>
      <c r="B11" t="s">
        <v>56</v>
      </c>
      <c r="C11" t="s">
        <v>57</v>
      </c>
      <c r="D11">
        <v>-2.4500000000000001E-2</v>
      </c>
      <c r="E11" t="s">
        <v>58</v>
      </c>
      <c r="F11" t="s">
        <v>59</v>
      </c>
      <c r="G11" t="s">
        <v>19</v>
      </c>
      <c r="H11">
        <v>-2.46</v>
      </c>
      <c r="I11">
        <v>3.32</v>
      </c>
      <c r="J11">
        <v>-4.97</v>
      </c>
      <c r="K11">
        <v>4.6900000000000004</v>
      </c>
    </row>
    <row r="12" spans="1:11" x14ac:dyDescent="0.3">
      <c r="A12" t="s">
        <v>60</v>
      </c>
      <c r="B12" t="s">
        <v>61</v>
      </c>
      <c r="C12" t="s">
        <v>62</v>
      </c>
      <c r="D12">
        <v>-4.6199999999999998E-2</v>
      </c>
      <c r="E12" t="s">
        <v>63</v>
      </c>
      <c r="F12" t="s">
        <v>64</v>
      </c>
      <c r="G12" t="s">
        <v>19</v>
      </c>
      <c r="H12">
        <v>-2.7</v>
      </c>
      <c r="I12">
        <v>5.38</v>
      </c>
      <c r="J12">
        <v>-6.22</v>
      </c>
      <c r="K12">
        <v>6.88</v>
      </c>
    </row>
    <row r="13" spans="1:11" x14ac:dyDescent="0.3">
      <c r="A13" t="s">
        <v>65</v>
      </c>
      <c r="B13" t="s">
        <v>66</v>
      </c>
      <c r="C13" t="s">
        <v>67</v>
      </c>
      <c r="D13">
        <v>-1.8100000000000002E-2</v>
      </c>
      <c r="E13" t="s">
        <v>68</v>
      </c>
      <c r="F13" t="s">
        <v>69</v>
      </c>
      <c r="G13" t="s">
        <v>19</v>
      </c>
      <c r="H13">
        <v>-1.65</v>
      </c>
      <c r="I13">
        <v>5.87</v>
      </c>
      <c r="J13">
        <v>-6.44</v>
      </c>
      <c r="K13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B2" sqref="B2:K13"/>
    </sheetView>
  </sheetViews>
  <sheetFormatPr defaultRowHeight="14.4" x14ac:dyDescent="0.3"/>
  <cols>
    <col min="1" max="1" width="29" customWidth="1"/>
    <col min="2" max="3" width="9" customWidth="1"/>
    <col min="4" max="4" width="6.21875" bestFit="1" customWidth="1"/>
    <col min="5" max="5" width="9" customWidth="1"/>
    <col min="6" max="6" width="9.44140625" customWidth="1"/>
    <col min="7" max="7" width="15" customWidth="1"/>
    <col min="8" max="8" width="14" customWidth="1"/>
    <col min="9" max="9" width="12" customWidth="1"/>
    <col min="10" max="10" width="1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37</v>
      </c>
      <c r="E2" t="s">
        <v>37</v>
      </c>
      <c r="F2" t="s">
        <v>37</v>
      </c>
      <c r="G2" t="s">
        <v>13</v>
      </c>
      <c r="H2">
        <v>0.79</v>
      </c>
      <c r="I2">
        <v>0.33</v>
      </c>
      <c r="J2">
        <v>0.41</v>
      </c>
      <c r="K2">
        <v>0.56999999999999995</v>
      </c>
    </row>
    <row r="3" spans="1:11" x14ac:dyDescent="0.3">
      <c r="A3" t="s">
        <v>14</v>
      </c>
      <c r="B3" t="s">
        <v>114</v>
      </c>
      <c r="C3" t="s">
        <v>52</v>
      </c>
      <c r="D3" s="3">
        <v>-7.1000000000000004E-3</v>
      </c>
      <c r="E3" t="s">
        <v>115</v>
      </c>
      <c r="F3" t="s">
        <v>116</v>
      </c>
      <c r="G3" t="s">
        <v>19</v>
      </c>
      <c r="H3">
        <v>0.66</v>
      </c>
      <c r="I3">
        <v>0.41</v>
      </c>
      <c r="J3">
        <v>0.33</v>
      </c>
      <c r="K3">
        <v>0.56000000000000005</v>
      </c>
    </row>
    <row r="4" spans="1:11" x14ac:dyDescent="0.3">
      <c r="A4" t="s">
        <v>20</v>
      </c>
      <c r="B4" t="s">
        <v>117</v>
      </c>
      <c r="C4" t="s">
        <v>118</v>
      </c>
      <c r="D4" s="3">
        <v>-7.7499999999999999E-2</v>
      </c>
      <c r="E4" t="s">
        <v>119</v>
      </c>
      <c r="F4" t="s">
        <v>120</v>
      </c>
      <c r="G4" t="s">
        <v>19</v>
      </c>
      <c r="H4">
        <v>0.61</v>
      </c>
      <c r="I4">
        <v>0.42</v>
      </c>
      <c r="J4">
        <v>0.37</v>
      </c>
      <c r="K4">
        <v>0.53</v>
      </c>
    </row>
    <row r="5" spans="1:11" x14ac:dyDescent="0.3">
      <c r="A5" t="s">
        <v>25</v>
      </c>
      <c r="B5" t="s">
        <v>121</v>
      </c>
      <c r="C5" t="s">
        <v>122</v>
      </c>
      <c r="D5" s="3">
        <v>-5.3E-3</v>
      </c>
      <c r="E5" t="s">
        <v>123</v>
      </c>
      <c r="F5" t="s">
        <v>124</v>
      </c>
      <c r="G5" t="s">
        <v>19</v>
      </c>
      <c r="H5">
        <v>0.63</v>
      </c>
      <c r="I5">
        <v>0.42</v>
      </c>
      <c r="J5">
        <v>0.31</v>
      </c>
      <c r="K5">
        <v>0.55000000000000004</v>
      </c>
    </row>
    <row r="6" spans="1:11" x14ac:dyDescent="0.3">
      <c r="A6" t="s">
        <v>30</v>
      </c>
      <c r="B6" t="s">
        <v>125</v>
      </c>
      <c r="C6" t="s">
        <v>126</v>
      </c>
      <c r="D6" s="3">
        <v>-8.77E-2</v>
      </c>
      <c r="E6" t="s">
        <v>127</v>
      </c>
      <c r="F6" t="s">
        <v>128</v>
      </c>
      <c r="G6" t="s">
        <v>19</v>
      </c>
      <c r="H6">
        <v>0.65</v>
      </c>
      <c r="I6">
        <v>0.38</v>
      </c>
      <c r="J6">
        <v>0.44</v>
      </c>
      <c r="K6">
        <v>0.48</v>
      </c>
    </row>
    <row r="7" spans="1:11" x14ac:dyDescent="0.3">
      <c r="A7" t="s">
        <v>36</v>
      </c>
      <c r="B7" t="s">
        <v>129</v>
      </c>
      <c r="C7" t="s">
        <v>130</v>
      </c>
      <c r="D7" s="3">
        <v>2.7000000000000001E-3</v>
      </c>
      <c r="E7" t="s">
        <v>131</v>
      </c>
      <c r="F7" t="s">
        <v>132</v>
      </c>
      <c r="G7" t="s">
        <v>19</v>
      </c>
      <c r="H7">
        <v>0.7</v>
      </c>
      <c r="I7">
        <v>0.43</v>
      </c>
      <c r="J7">
        <v>0.3</v>
      </c>
      <c r="K7">
        <v>0.62</v>
      </c>
    </row>
    <row r="8" spans="1:11" x14ac:dyDescent="0.3">
      <c r="A8" t="s">
        <v>41</v>
      </c>
      <c r="B8" t="s">
        <v>133</v>
      </c>
      <c r="C8" t="s">
        <v>134</v>
      </c>
      <c r="D8" s="3">
        <v>-1.7500000000000002E-2</v>
      </c>
      <c r="E8" t="s">
        <v>135</v>
      </c>
      <c r="F8" t="s">
        <v>136</v>
      </c>
      <c r="G8" t="s">
        <v>19</v>
      </c>
      <c r="H8">
        <v>0.66</v>
      </c>
      <c r="I8">
        <v>0.46</v>
      </c>
      <c r="J8">
        <v>0.28999999999999998</v>
      </c>
      <c r="K8">
        <v>0.62</v>
      </c>
    </row>
    <row r="9" spans="1:11" x14ac:dyDescent="0.3">
      <c r="A9" t="s">
        <v>45</v>
      </c>
      <c r="B9" t="s">
        <v>137</v>
      </c>
      <c r="C9" t="s">
        <v>138</v>
      </c>
      <c r="D9" s="3">
        <v>4.4000000000000003E-3</v>
      </c>
      <c r="E9" t="s">
        <v>139</v>
      </c>
      <c r="F9" t="s">
        <v>140</v>
      </c>
      <c r="G9" t="s">
        <v>19</v>
      </c>
      <c r="H9">
        <v>0.76</v>
      </c>
      <c r="I9">
        <v>0.36</v>
      </c>
      <c r="J9">
        <v>0.38</v>
      </c>
      <c r="K9">
        <v>0.57999999999999996</v>
      </c>
    </row>
    <row r="10" spans="1:11" x14ac:dyDescent="0.3">
      <c r="A10" t="s">
        <v>50</v>
      </c>
      <c r="B10" t="s">
        <v>141</v>
      </c>
      <c r="C10" t="s">
        <v>142</v>
      </c>
      <c r="D10" s="3">
        <v>-9.4999999999999998E-3</v>
      </c>
      <c r="E10" t="s">
        <v>143</v>
      </c>
      <c r="F10" t="s">
        <v>144</v>
      </c>
      <c r="G10" t="s">
        <v>19</v>
      </c>
      <c r="H10">
        <v>0.77</v>
      </c>
      <c r="I10">
        <v>0.35</v>
      </c>
      <c r="J10">
        <v>0.4</v>
      </c>
      <c r="K10">
        <v>0.56999999999999995</v>
      </c>
    </row>
    <row r="11" spans="1:11" x14ac:dyDescent="0.3">
      <c r="A11" t="s">
        <v>55</v>
      </c>
      <c r="B11" t="s">
        <v>145</v>
      </c>
      <c r="C11" t="s">
        <v>146</v>
      </c>
      <c r="D11" s="3">
        <v>-6.7999999999999996E-3</v>
      </c>
      <c r="E11" t="s">
        <v>147</v>
      </c>
      <c r="F11" t="s">
        <v>148</v>
      </c>
      <c r="G11" t="s">
        <v>19</v>
      </c>
      <c r="H11">
        <v>0.6</v>
      </c>
      <c r="I11">
        <v>0.44</v>
      </c>
      <c r="J11">
        <v>0.28000000000000003</v>
      </c>
      <c r="K11">
        <v>0.56000000000000005</v>
      </c>
    </row>
    <row r="12" spans="1:11" x14ac:dyDescent="0.3">
      <c r="A12" t="s">
        <v>60</v>
      </c>
      <c r="B12" t="s">
        <v>149</v>
      </c>
      <c r="C12" t="s">
        <v>150</v>
      </c>
      <c r="D12" s="3">
        <v>-3.7499999999999999E-2</v>
      </c>
      <c r="E12" t="s">
        <v>151</v>
      </c>
      <c r="F12" t="s">
        <v>152</v>
      </c>
      <c r="G12" t="s">
        <v>19</v>
      </c>
      <c r="H12">
        <v>0.46</v>
      </c>
      <c r="I12">
        <v>0.54</v>
      </c>
      <c r="J12">
        <v>0.17</v>
      </c>
      <c r="K12">
        <v>0.6</v>
      </c>
    </row>
    <row r="13" spans="1:11" x14ac:dyDescent="0.3">
      <c r="A13" t="s">
        <v>65</v>
      </c>
      <c r="B13" t="s">
        <v>153</v>
      </c>
      <c r="C13" t="s">
        <v>154</v>
      </c>
      <c r="D13" s="3">
        <v>-1.32E-2</v>
      </c>
      <c r="E13" t="s">
        <v>155</v>
      </c>
      <c r="F13" t="s">
        <v>156</v>
      </c>
      <c r="G13" t="s">
        <v>19</v>
      </c>
      <c r="H13">
        <v>0.63</v>
      </c>
      <c r="I13">
        <v>0.47</v>
      </c>
      <c r="J13">
        <v>0.27</v>
      </c>
      <c r="K13">
        <v>0.62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tabSelected="1" workbookViewId="0">
      <selection activeCell="W8" sqref="W8"/>
    </sheetView>
  </sheetViews>
  <sheetFormatPr defaultRowHeight="14.4" x14ac:dyDescent="0.3"/>
  <cols>
    <col min="1" max="1" width="26.21875" bestFit="1" customWidth="1"/>
    <col min="2" max="2" width="9.21875" bestFit="1" customWidth="1"/>
    <col min="3" max="3" width="14.77734375" bestFit="1" customWidth="1"/>
    <col min="4" max="4" width="7.6640625" style="5" bestFit="1" customWidth="1"/>
    <col min="5" max="5" width="13.33203125" bestFit="1" customWidth="1"/>
  </cols>
  <sheetData>
    <row r="1" spans="1:5" x14ac:dyDescent="0.3">
      <c r="A1" s="2" t="s">
        <v>0</v>
      </c>
      <c r="B1" s="1" t="s">
        <v>159</v>
      </c>
      <c r="C1" s="2" t="s">
        <v>158</v>
      </c>
      <c r="D1" s="4" t="s">
        <v>160</v>
      </c>
      <c r="E1" s="2" t="s">
        <v>157</v>
      </c>
    </row>
    <row r="2" spans="1:5" x14ac:dyDescent="0.3">
      <c r="A2" t="s">
        <v>11</v>
      </c>
      <c r="B2" t="s">
        <v>71</v>
      </c>
      <c r="C2" t="s">
        <v>37</v>
      </c>
      <c r="D2" s="5">
        <f>C2-B2</f>
        <v>-6.8999999999999617E-3</v>
      </c>
      <c r="E2" t="s">
        <v>12</v>
      </c>
    </row>
    <row r="3" spans="1:5" x14ac:dyDescent="0.3">
      <c r="A3" t="s">
        <v>14</v>
      </c>
      <c r="B3" t="s">
        <v>72</v>
      </c>
      <c r="C3" t="s">
        <v>114</v>
      </c>
      <c r="D3" s="5">
        <f t="shared" ref="D3:D13" si="0">C3-B3</f>
        <v>-5.8099999999999985E-2</v>
      </c>
      <c r="E3" t="s">
        <v>15</v>
      </c>
    </row>
    <row r="4" spans="1:5" x14ac:dyDescent="0.3">
      <c r="A4" t="s">
        <v>20</v>
      </c>
      <c r="B4" t="s">
        <v>76</v>
      </c>
      <c r="C4" t="s">
        <v>117</v>
      </c>
      <c r="D4" s="5">
        <f t="shared" si="0"/>
        <v>-7.0000000000000007E-2</v>
      </c>
      <c r="E4" t="s">
        <v>21</v>
      </c>
    </row>
    <row r="5" spans="1:5" x14ac:dyDescent="0.3">
      <c r="A5" t="s">
        <v>25</v>
      </c>
      <c r="B5" t="s">
        <v>80</v>
      </c>
      <c r="C5" t="s">
        <v>121</v>
      </c>
      <c r="D5" s="5">
        <f t="shared" si="0"/>
        <v>-4.9800000000000011E-2</v>
      </c>
      <c r="E5" t="s">
        <v>26</v>
      </c>
    </row>
    <row r="6" spans="1:5" x14ac:dyDescent="0.3">
      <c r="A6" t="s">
        <v>30</v>
      </c>
      <c r="B6" t="s">
        <v>84</v>
      </c>
      <c r="C6" t="s">
        <v>125</v>
      </c>
      <c r="D6" s="5">
        <f t="shared" si="0"/>
        <v>-5.2400000000000002E-2</v>
      </c>
      <c r="E6" t="s">
        <v>31</v>
      </c>
    </row>
    <row r="7" spans="1:5" x14ac:dyDescent="0.3">
      <c r="A7" t="s">
        <v>36</v>
      </c>
      <c r="B7" t="s">
        <v>88</v>
      </c>
      <c r="C7" t="s">
        <v>129</v>
      </c>
      <c r="D7" s="5">
        <f t="shared" si="0"/>
        <v>-4.2999999999999705E-3</v>
      </c>
      <c r="E7" t="s">
        <v>37</v>
      </c>
    </row>
    <row r="8" spans="1:5" x14ac:dyDescent="0.3">
      <c r="A8" t="s">
        <v>41</v>
      </c>
      <c r="B8" t="s">
        <v>92</v>
      </c>
      <c r="C8" t="s">
        <v>133</v>
      </c>
      <c r="D8" s="5">
        <f t="shared" si="0"/>
        <v>-3.9000000000000146E-3</v>
      </c>
      <c r="E8" t="s">
        <v>42</v>
      </c>
    </row>
    <row r="9" spans="1:5" x14ac:dyDescent="0.3">
      <c r="A9" t="s">
        <v>45</v>
      </c>
      <c r="B9" t="s">
        <v>96</v>
      </c>
      <c r="C9" t="s">
        <v>137</v>
      </c>
      <c r="D9" s="5">
        <f t="shared" si="0"/>
        <v>-1.0199999999999987E-2</v>
      </c>
      <c r="E9" t="s">
        <v>46</v>
      </c>
    </row>
    <row r="10" spans="1:5" x14ac:dyDescent="0.3">
      <c r="A10" t="s">
        <v>50</v>
      </c>
      <c r="B10" t="s">
        <v>88</v>
      </c>
      <c r="C10" t="s">
        <v>141</v>
      </c>
      <c r="D10" s="5">
        <f t="shared" si="0"/>
        <v>3.0000000000002247E-4</v>
      </c>
      <c r="E10" t="s">
        <v>51</v>
      </c>
    </row>
    <row r="11" spans="1:5" x14ac:dyDescent="0.3">
      <c r="A11" t="s">
        <v>55</v>
      </c>
      <c r="B11" t="s">
        <v>102</v>
      </c>
      <c r="C11" t="s">
        <v>145</v>
      </c>
      <c r="D11" s="5">
        <f t="shared" si="0"/>
        <v>-5.2400000000000002E-2</v>
      </c>
      <c r="E11" t="s">
        <v>56</v>
      </c>
    </row>
    <row r="12" spans="1:5" x14ac:dyDescent="0.3">
      <c r="A12" t="s">
        <v>60</v>
      </c>
      <c r="B12" t="s">
        <v>106</v>
      </c>
      <c r="C12" t="s">
        <v>149</v>
      </c>
      <c r="D12" s="5">
        <f t="shared" si="0"/>
        <v>-3.9300000000000002E-2</v>
      </c>
      <c r="E12" t="s">
        <v>61</v>
      </c>
    </row>
    <row r="13" spans="1:5" x14ac:dyDescent="0.3">
      <c r="A13" t="s">
        <v>65</v>
      </c>
      <c r="B13" t="s">
        <v>110</v>
      </c>
      <c r="C13" t="s">
        <v>153</v>
      </c>
      <c r="D13" s="5">
        <f t="shared" si="0"/>
        <v>-7.2000000000000397E-3</v>
      </c>
      <c r="E1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Baseline</vt:lpstr>
      <vt:lpstr>Clean Weighted</vt:lpstr>
      <vt:lpstr>Noise Augmented v5</vt:lpstr>
      <vt:lpstr>OC-Softmax v1</vt:lpstr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Xu</cp:lastModifiedBy>
  <dcterms:created xsi:type="dcterms:W3CDTF">2026-03-23T05:16:06Z</dcterms:created>
  <dcterms:modified xsi:type="dcterms:W3CDTF">2026-03-29T06:56:49Z</dcterms:modified>
</cp:coreProperties>
</file>